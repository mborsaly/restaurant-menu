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borsaly/restaurant-menu/RestaurantsSetup/ghazal-alreem-village/"/>
    </mc:Choice>
  </mc:AlternateContent>
  <xr:revisionPtr revIDLastSave="0" documentId="13_ncr:1_{36C25397-3199-A24B-9BD8-6BDED0D575FC}" xr6:coauthVersionLast="47" xr6:coauthVersionMax="47" xr10:uidLastSave="{00000000-0000-0000-0000-000000000000}"/>
  <bookViews>
    <workbookView xWindow="1900" yWindow="1900" windowWidth="27240" windowHeight="16180" xr2:uid="{89EAB2C6-E3D1-1149-AF48-CB87DAEB1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6" i="1"/>
  <c r="C16" i="1"/>
  <c r="C6" i="1"/>
  <c r="C14" i="1"/>
</calcChain>
</file>

<file path=xl/sharedStrings.xml><?xml version="1.0" encoding="utf-8"?>
<sst xmlns="http://schemas.openxmlformats.org/spreadsheetml/2006/main" count="29" uniqueCount="21">
  <si>
    <t>Zane Expense</t>
  </si>
  <si>
    <t>Date</t>
  </si>
  <si>
    <t>Nour expenses</t>
  </si>
  <si>
    <t>Total</t>
  </si>
  <si>
    <t>Neo</t>
  </si>
  <si>
    <t>Mamy credit card</t>
  </si>
  <si>
    <t>cash</t>
  </si>
  <si>
    <t>Scotia</t>
  </si>
  <si>
    <t>MRI</t>
  </si>
  <si>
    <t>Doctor Follow-up</t>
  </si>
  <si>
    <t>X-ray + Emergency expenses</t>
  </si>
  <si>
    <t>PXR shoulder (one side)</t>
  </si>
  <si>
    <t>Total Nourhan</t>
  </si>
  <si>
    <t>Total Zane</t>
  </si>
  <si>
    <t>Amount in CAD</t>
  </si>
  <si>
    <t>Amount in EGP</t>
  </si>
  <si>
    <t>Payment Method</t>
  </si>
  <si>
    <t>Expense Description</t>
  </si>
  <si>
    <t>Sholder relocation operation</t>
  </si>
  <si>
    <t>Emergency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</si>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</sst>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2" borderId="1" xfId="0" applyNumberFormat="1" applyFill="1" applyBorder="1"/>
    <xf numFmtId="0" fontId="0" fillId="2" borderId="1" xfId="0" applyFill="1" applyBorder="1"/>
    <xf numFmtId="4" fontId="0" fillId="2" borderId="1" xfId="0" applyNumberFormat="1" applyFill="1" applyBorder="1"/>
    <xf numFmtId="16" fontId="0" fillId="3" borderId="1" xfId="0" applyNumberFormat="1" applyFill="1" applyBorder="1"/>
    <xf numFmtId="0" fontId="0" fillId="3" borderId="1" xfId="0" applyFill="1" applyBorder="1"/>
    <xf numFmtId="15" fontId="0" fillId="3" borderId="1" xfId="0" applyNumberFormat="1" applyFill="1" applyBorder="1"/>
    <xf numFmtId="15" fontId="0" fillId="2" borderId="2" xfId="0" applyNumberFormat="1" applyFill="1" applyBorder="1"/>
    <xf numFmtId="0" fontId="0" fillId="2" borderId="2" xfId="0" applyFill="1" applyBorder="1"/>
    <xf numFmtId="3" fontId="0" fillId="2" borderId="2" xfId="0" applyNumberFormat="1" applyFill="1" applyBorder="1"/>
    <xf numFmtId="15" fontId="0" fillId="0" borderId="0" xfId="0" applyNumberFormat="1"/>
    <xf numFmtId="3" fontId="0" fillId="0" borderId="0" xfId="0" applyNumberFormat="1"/>
    <xf numFmtId="0" fontId="0" fillId="3" borderId="2" xfId="0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15" fontId="1" fillId="2" borderId="3" xfId="0" applyNumberFormat="1" applyFont="1" applyFill="1" applyBorder="1"/>
    <xf numFmtId="0" fontId="1" fillId="2" borderId="4" xfId="0" applyFont="1" applyFill="1" applyBorder="1"/>
    <xf numFmtId="3" fontId="1" fillId="2" borderId="4" xfId="0" applyNumberFormat="1" applyFont="1" applyFill="1" applyBorder="1"/>
    <xf numFmtId="0" fontId="1" fillId="2" borderId="5" xfId="0" applyFont="1" applyFill="1" applyBorder="1"/>
    <xf numFmtId="0" fontId="1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7081-4D96-D947-9262-7241D94998B8}">
  <dimension ref="A1:F16"/>
  <sheetViews>
    <sheetView tabSelected="1" workbookViewId="0">
      <selection activeCell="D26" sqref="D26"/>
    </sheetView>
  </sheetViews>
  <sheetFormatPr baseColWidth="10" defaultRowHeight="16" x14ac:dyDescent="0.2"/>
  <cols>
    <col min="1" max="1" width="12.1640625" bestFit="1" customWidth="1"/>
    <col min="2" max="2" width="20" customWidth="1"/>
    <col min="3" max="3" width="16.1640625" customWidth="1"/>
    <col min="4" max="4" width="18" customWidth="1"/>
    <col min="5" max="5" width="31.83203125" customWidth="1"/>
    <col min="6" max="6" width="27.1640625" customWidth="1"/>
  </cols>
  <sheetData>
    <row r="1" spans="1:6" x14ac:dyDescent="0.2">
      <c r="A1" t="s">
        <v>0</v>
      </c>
    </row>
    <row r="2" spans="1:6" x14ac:dyDescent="0.2">
      <c r="B2" s="20" t="s">
        <v>1</v>
      </c>
      <c r="C2" s="20" t="s">
        <v>14</v>
      </c>
      <c r="D2" s="20" t="s">
        <v>15</v>
      </c>
      <c r="E2" s="20" t="s">
        <v>16</v>
      </c>
      <c r="F2" s="20" t="s">
        <v>17</v>
      </c>
    </row>
    <row r="3" spans="1:6" x14ac:dyDescent="0.2">
      <c r="B3" s="1">
        <v>46244</v>
      </c>
      <c r="C3" s="2">
        <v>216.7</v>
      </c>
      <c r="D3" s="3">
        <v>7456.66</v>
      </c>
      <c r="E3" s="2" t="s">
        <v>4</v>
      </c>
      <c r="F3" s="2" t="s">
        <v>20</v>
      </c>
    </row>
    <row r="4" spans="1:6" x14ac:dyDescent="0.2">
      <c r="B4" s="1">
        <v>46244</v>
      </c>
      <c r="C4" s="2">
        <v>66.025000000000006</v>
      </c>
      <c r="D4" s="3">
        <v>2271.9299999999998</v>
      </c>
      <c r="E4" s="2" t="s">
        <v>5</v>
      </c>
      <c r="F4" s="2" t="s">
        <v>19</v>
      </c>
    </row>
    <row r="5" spans="1:6" ht="17" thickBot="1" x14ac:dyDescent="0.25">
      <c r="B5" s="7">
        <v>46244</v>
      </c>
      <c r="C5" s="8">
        <v>871.83</v>
      </c>
      <c r="D5" s="9">
        <v>30000</v>
      </c>
      <c r="E5" s="8" t="s">
        <v>5</v>
      </c>
      <c r="F5" s="8" t="s">
        <v>20</v>
      </c>
    </row>
    <row r="6" spans="1:6" ht="17" thickBot="1" x14ac:dyDescent="0.25">
      <c r="B6" s="16" t="s">
        <v>13</v>
      </c>
      <c r="C6" s="17">
        <f>SUM(C3:C5)</f>
        <v>1154.5550000000001</v>
      </c>
      <c r="D6" s="18">
        <f>SUM(D3:D5)</f>
        <v>39728.589999999997</v>
      </c>
      <c r="E6" s="17"/>
      <c r="F6" s="19"/>
    </row>
    <row r="7" spans="1:6" x14ac:dyDescent="0.2">
      <c r="B7" s="10"/>
      <c r="D7" s="11"/>
    </row>
    <row r="8" spans="1:6" x14ac:dyDescent="0.2">
      <c r="B8" s="4">
        <v>46246</v>
      </c>
      <c r="C8" s="5">
        <v>48.45</v>
      </c>
      <c r="D8" s="21">
        <v>1700</v>
      </c>
      <c r="E8" s="4" t="s">
        <v>7</v>
      </c>
      <c r="F8" s="5" t="s">
        <v>8</v>
      </c>
    </row>
    <row r="9" spans="1:6" x14ac:dyDescent="0.2">
      <c r="A9" t="s">
        <v>2</v>
      </c>
      <c r="B9" s="4">
        <v>46244</v>
      </c>
      <c r="C9" s="5">
        <v>20.239999999999998</v>
      </c>
      <c r="D9" s="23">
        <v>700</v>
      </c>
      <c r="E9" s="4" t="s">
        <v>7</v>
      </c>
      <c r="F9" s="5" t="s">
        <v>9</v>
      </c>
    </row>
    <row r="10" spans="1:6" x14ac:dyDescent="0.2">
      <c r="B10" s="4">
        <v>46219</v>
      </c>
      <c r="C10" s="5">
        <v>20.010000000000002</v>
      </c>
      <c r="D10" s="23">
        <v>700</v>
      </c>
      <c r="E10" s="4" t="s">
        <v>7</v>
      </c>
      <c r="F10" s="5" t="s">
        <v>9</v>
      </c>
    </row>
    <row r="11" spans="1:6" x14ac:dyDescent="0.2">
      <c r="B11" s="6">
        <v>46215</v>
      </c>
      <c r="C11" s="5">
        <v>24.31</v>
      </c>
      <c r="D11" s="21">
        <v>825</v>
      </c>
      <c r="E11" s="5" t="s">
        <v>4</v>
      </c>
      <c r="F11" s="5" t="s">
        <v>10</v>
      </c>
    </row>
    <row r="12" spans="1:6" x14ac:dyDescent="0.2">
      <c r="B12" s="5"/>
      <c r="C12" s="5">
        <v>8.84</v>
      </c>
      <c r="D12" s="21">
        <v>300</v>
      </c>
      <c r="E12" s="5" t="s">
        <v>6</v>
      </c>
      <c r="F12" s="5" t="s">
        <v>11</v>
      </c>
    </row>
    <row r="13" spans="1:6" ht="17" thickBot="1" x14ac:dyDescent="0.25">
      <c r="B13" s="12"/>
      <c r="C13" s="12">
        <v>39.380000000000003</v>
      </c>
      <c r="D13" s="22">
        <v>1336.58</v>
      </c>
      <c r="E13" s="12" t="s">
        <v>5</v>
      </c>
      <c r="F13" s="12" t="s">
        <v>18</v>
      </c>
    </row>
    <row r="14" spans="1:6" ht="17" thickBot="1" x14ac:dyDescent="0.25">
      <c r="B14" s="13" t="s">
        <v>12</v>
      </c>
      <c r="C14" s="14">
        <f>SUM(C8:C13)</f>
        <v>161.23000000000002</v>
      </c>
      <c r="D14" s="14">
        <f>SUM(D8:D13)</f>
        <v>5561.58</v>
      </c>
      <c r="E14" s="14"/>
      <c r="F14" s="15"/>
    </row>
    <row r="16" spans="1:6" x14ac:dyDescent="0.2">
      <c r="A16" t="s">
        <v>3</v>
      </c>
      <c r="B16" t="s">
        <v>3</v>
      </c>
      <c r="C16">
        <f>SUM(C14,C6)</f>
        <v>1315.7850000000001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El-Borsaly</dc:creator>
  <cp:lastModifiedBy>Mohamed El-Borsaly</cp:lastModifiedBy>
  <dcterms:created xsi:type="dcterms:W3CDTF">2026-08-18T20:22:32Z</dcterms:created>
  <dcterms:modified xsi:type="dcterms:W3CDTF">2026-09-03T13:20:58Z</dcterms:modified>
</cp:coreProperties>
</file>